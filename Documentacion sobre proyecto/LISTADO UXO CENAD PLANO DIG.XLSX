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8190" tabRatio="500"/>
  </bookViews>
  <sheets>
    <sheet name="Hoja1" sheetId="1" r:id="rId1"/>
    <sheet name="Hoja2" sheetId="2" r:id="rId2"/>
    <sheet name="Hoja3" sheetId="3" r:id="rId3"/>
  </sheets>
  <definedNames>
    <definedName name="_xlnm._FilterDatabase" localSheetId="0">Hoja1!$A$1:$M$69</definedName>
  </definedName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0" i="1"/>
  <c r="A71" s="1"/>
  <c r="A72" s="1"/>
  <c r="A73" s="1"/>
  <c r="A74" s="1"/>
  <c r="A75" s="1"/>
  <c r="A76" s="1"/>
  <c r="A77" s="1"/>
  <c r="A78" s="1"/>
  <c r="A79" s="1"/>
  <c r="A80" s="1"/>
  <c r="A81" s="1"/>
  <c r="A82" s="1"/>
</calcChain>
</file>

<file path=xl/sharedStrings.xml><?xml version="1.0" encoding="utf-8"?>
<sst xmlns="http://schemas.openxmlformats.org/spreadsheetml/2006/main" count="575" uniqueCount="216">
  <si>
    <t>REGISTRO</t>
  </si>
  <si>
    <t>PROCESO</t>
  </si>
  <si>
    <t>COORDENADAS</t>
  </si>
  <si>
    <t>DATUM</t>
  </si>
  <si>
    <t>ARTEFACTO</t>
  </si>
  <si>
    <t>DESTRUIDO</t>
  </si>
  <si>
    <t>30TXM0000000000</t>
  </si>
  <si>
    <t>WGS84</t>
  </si>
  <si>
    <t>CENAD S.G.</t>
  </si>
  <si>
    <t>GRANADA DE MORTERO</t>
  </si>
  <si>
    <t>SEÑALIZADA CON PIEDRAS. LOCALIZADA MIENTRAS SE REALIZABA EJERCICIO FISICO.</t>
  </si>
  <si>
    <t>PROBABLEMENTE ELIMINADO PREVIAMENTE A LIMPIEZA DE CORTAFUEG0S DE F-23</t>
  </si>
  <si>
    <t>RETIRADO</t>
  </si>
  <si>
    <t>30TXM6767234336</t>
  </si>
  <si>
    <t>BRI ARAGON I</t>
  </si>
  <si>
    <t>UXO</t>
  </si>
  <si>
    <t>SE BUSCO 2 VECES EN COORDENADAS COMUNICADAS EL 22/12/2017 (ED-50 Y WGS 84) CON BRIGADA LUJAN.</t>
  </si>
  <si>
    <t>30TXM6767434335</t>
  </si>
  <si>
    <t>155 MM. PROYECTIL ILUMINANTE (CANISTER)</t>
  </si>
  <si>
    <t>CARGADO.</t>
  </si>
  <si>
    <t>TRASLADADO EL 04/07/2018 A AGUJERO DE IBARRA EN ESPERA DE SU DESTRUCCION.</t>
  </si>
  <si>
    <t>PENDIENTE</t>
  </si>
  <si>
    <t>30TXM6691436708</t>
  </si>
  <si>
    <t>BRIMZ XII</t>
  </si>
  <si>
    <t>155 MM. ARTILLERIA</t>
  </si>
  <si>
    <t>EN CIRCULO DE PIEDRAS. ENTERO SIN ESPOLETA</t>
  </si>
  <si>
    <t>DEPOSITADO EN PUIG AMARILLO.</t>
  </si>
  <si>
    <t>30TXM6594632565</t>
  </si>
  <si>
    <t>AALOG 11</t>
  </si>
  <si>
    <t>MINAS CONTRACARRO</t>
  </si>
  <si>
    <t>SEÑALIZADO CON CINTA.</t>
  </si>
  <si>
    <t>RESTOS DEPOSITADOS EN PUIG AMARILLO.</t>
  </si>
  <si>
    <t>105 MM. PROYECTIL EJERCICIO FLASH</t>
  </si>
  <si>
    <t>SE DESTRUYE EL FLASH Y SE DEPOSITA MARCADO EN PUIG AMARILLO.</t>
  </si>
  <si>
    <t>120 MM. GRANADA DE MORTERO ILUMINANTE</t>
  </si>
  <si>
    <t>105 MM. PROYECTIL ROMPEDOR</t>
  </si>
  <si>
    <t>30TXM6576233345</t>
  </si>
  <si>
    <t>155 MM. PROYECTIL FUMIGENO ME-110-A2</t>
  </si>
  <si>
    <t>AGM</t>
  </si>
  <si>
    <t>30TXM7335022938</t>
  </si>
  <si>
    <t>NEUTRALIZADO</t>
  </si>
  <si>
    <t>EN CIRCULO DE PIEDRAS.</t>
  </si>
  <si>
    <t>PROBABLEMENTE NEUTRALIZADA DURANTE EL RASTRILLEO BRIGADA ARAGON I. (DEL 19 AL 28/03/18)</t>
  </si>
  <si>
    <t>100 MM. SISTEMA CONTRACARRO ALCOTAN</t>
  </si>
  <si>
    <t>ENTREGADOS EN MANO.</t>
  </si>
  <si>
    <t>EL 09/02/18 SE DISPARAN Y DESTRUYEN AMBOS CON DIRECCION DE TIRO PRESTADA POR INSTALAZA.</t>
  </si>
  <si>
    <t>RDEF NBQ VALENCIA Nº1</t>
  </si>
  <si>
    <t>ARTIFICIO FUMIGENO ATF HC</t>
  </si>
  <si>
    <t>ENTREGADOS EN MANO. ALGUIEN LO RECOGIO DE CASAS ALTAS Y LO LLEVO AL COSCON</t>
  </si>
  <si>
    <t>30TXM7338922741</t>
  </si>
  <si>
    <t>30TXM7325122897</t>
  </si>
  <si>
    <t>81 MM. D.O. GRAN. MORT. ILUM. M-AE-93</t>
  </si>
  <si>
    <t>SEMIENTERRADA. SEÑALIZADA CON PIQUETA.</t>
  </si>
  <si>
    <t>DEPOSITADO EN F-23</t>
  </si>
  <si>
    <t>30TXM7321322860</t>
  </si>
  <si>
    <t>90 MM. GRANADA CARGA HUECA SISTEMA CONTRACARRO C-90-CR-RB-BK (M-3)</t>
  </si>
  <si>
    <t>SEÑALIZADA CON PIQUETAS.</t>
  </si>
  <si>
    <t>35 MM. (35x288) DISPARO ORDINARIO ROMPEDOR HEI (SSDO48)</t>
  </si>
  <si>
    <t>DESCONOCIDA</t>
  </si>
  <si>
    <t>SEÑALIZADO CON CINTA BLANCA Y ROJA.</t>
  </si>
  <si>
    <t>BRIGADA ARAGON I</t>
  </si>
  <si>
    <t>GRANADA DE MORTERO 81 MM.</t>
  </si>
  <si>
    <t>SEÑALIZADO CON PIQUETAS Y CINTA BLANCA Y ROJA.</t>
  </si>
  <si>
    <t>GRANADA DE MORTERO 81 MM. M-AE 84</t>
  </si>
  <si>
    <t>CANDELA DE OCULTACION C.O. FUMIGENA</t>
  </si>
  <si>
    <t>30TXM5990033387</t>
  </si>
  <si>
    <t>GRANADA</t>
  </si>
  <si>
    <t>SEÑALIZADO CON CINTA BLANCA Y ROJA. LOCALIZADO EN PATRULLA DE FIN DE SEMANA.</t>
  </si>
  <si>
    <t>DEPOSITADO EN VALDEHACER.</t>
  </si>
  <si>
    <t>30TXM6712737790</t>
  </si>
  <si>
    <t>30TXM6767334905</t>
  </si>
  <si>
    <t>BON PIRINEOS</t>
  </si>
  <si>
    <t>SEÑALIZADO CON CINTA AMARILLA Y NEGRA</t>
  </si>
  <si>
    <t>NO LOCALIZADO</t>
  </si>
  <si>
    <t>30TXM6940034500</t>
  </si>
  <si>
    <t>MISIL TOW</t>
  </si>
  <si>
    <t>30TXM6832034370</t>
  </si>
  <si>
    <t>30TXM6763034442</t>
  </si>
  <si>
    <r>
      <rPr>
        <sz val="11"/>
        <color rgb="FF000000"/>
        <rFont val="Calibri"/>
        <family val="2"/>
        <charset val="1"/>
      </rPr>
      <t>90 MM. COHETE C-90-CR-BK (</t>
    </r>
    <r>
      <rPr>
        <b/>
        <sz val="11"/>
        <rFont val="Calibri"/>
        <family val="2"/>
        <charset val="1"/>
      </rPr>
      <t>dentro ZCP puig amarillo)</t>
    </r>
  </si>
  <si>
    <t>DENTRO DE ZCP PUIG AMARILLO</t>
  </si>
  <si>
    <t>30TXM6726932758</t>
  </si>
  <si>
    <t>GRANADA DE MORTERO ROMPEDOR 120 MM.</t>
  </si>
  <si>
    <t>GRANADA DE MORTERO ILUMINANTE 81 MM.</t>
  </si>
  <si>
    <t>30TXM6895134411</t>
  </si>
  <si>
    <t>155 MM PROYECTIL ILUMINANTE</t>
  </si>
  <si>
    <t>SIN SEÑALIZAR.</t>
  </si>
  <si>
    <t>30TXM6767235225</t>
  </si>
  <si>
    <t>CARGA ILUMINANTE 105 MM.</t>
  </si>
  <si>
    <t>SEMIENTERRADO.</t>
  </si>
  <si>
    <t>30TXM6722936289</t>
  </si>
  <si>
    <t>PROYECTIL</t>
  </si>
  <si>
    <t>POSIBLE 105 MM. COLOR VERDE. FRANJA AZUL. AL DESCUBIERTO.</t>
  </si>
  <si>
    <t>81 MM. GRANADA DE MORTERO ROMPEDOR M-AE 84</t>
  </si>
  <si>
    <t>BIMT LEGAZPI1/62</t>
  </si>
  <si>
    <t>30TXM6733436497</t>
  </si>
  <si>
    <t>POSIBLE 105, VERDE, FRANJA AZUL, AL DESCUBIERTO.</t>
  </si>
  <si>
    <t>BZLEG II</t>
  </si>
  <si>
    <t>MANGUERA DE GUERRA LIGERA</t>
  </si>
  <si>
    <t>30TXM6778635354</t>
  </si>
  <si>
    <t>UXO 105</t>
  </si>
  <si>
    <t>SIN ESPOLETA.</t>
  </si>
  <si>
    <t>30TXM7362122223</t>
  </si>
  <si>
    <t>GRANADA DE MORTERO 120 MM.</t>
  </si>
  <si>
    <t>BRI X</t>
  </si>
  <si>
    <t>30TXM7341522580</t>
  </si>
  <si>
    <t>SEÑALIZADO CON CINTA BLANCA Y AZUL POLICIA LOCAL</t>
  </si>
  <si>
    <t>30TXM7382721921</t>
  </si>
  <si>
    <t>120 MM. GRANADA</t>
  </si>
  <si>
    <t>30TXM7394321758</t>
  </si>
  <si>
    <t>DESCONOCIDO</t>
  </si>
  <si>
    <t>30TXM6650740341</t>
  </si>
  <si>
    <t>120 MM. PROYECTIL</t>
  </si>
  <si>
    <t>30TXM6856039366</t>
  </si>
  <si>
    <t>BRIPAC - GACAPAC VI</t>
  </si>
  <si>
    <t>BENGALA</t>
  </si>
  <si>
    <t>EN CIRCULO DE PIEDRAS Y PALETS</t>
  </si>
  <si>
    <t>30TXM6547533199</t>
  </si>
  <si>
    <t>PROYECTIL 105MM ROMPEDOR OE-105-60 F1 AMX 30 CON ESPOLETA FUI-56</t>
  </si>
  <si>
    <t>30TXM6553933327</t>
  </si>
  <si>
    <t>30TXM6554233325</t>
  </si>
  <si>
    <t>30TXM6554833334</t>
  </si>
  <si>
    <t>30TXM6556233338</t>
  </si>
  <si>
    <t>30TXM6556533331</t>
  </si>
  <si>
    <t>30TXM6557333342</t>
  </si>
  <si>
    <t>30TXM6558133346</t>
  </si>
  <si>
    <t>30TXM6681040303</t>
  </si>
  <si>
    <t>105 MM. O 120 MM.</t>
  </si>
  <si>
    <t>30T 0672602 4624517</t>
  </si>
  <si>
    <t>ELAC 2/I/11</t>
  </si>
  <si>
    <t>MORTERO</t>
  </si>
  <si>
    <t>SEÑALIZADO POR UNIDAD CON PIQUETAS Y CINTA</t>
  </si>
  <si>
    <t>30T 0674124 4621354</t>
  </si>
  <si>
    <t>CENAD S.G. ScSeg/C-IF</t>
  </si>
  <si>
    <t>granada mortero</t>
  </si>
  <si>
    <t>SEÑALIZADO CON PIQUETAS Y TRIANGULOS REGLAMENTARIOS.GRANADA COLOR AZUL CON LETRAS DE “INERTE”</t>
  </si>
  <si>
    <t>SEÑALIZADA CON CINTA DE BALIZAR EN EL SUELO</t>
  </si>
  <si>
    <t>DESACTIVADA POR MÉTODO DE DESTRUCCIÓN. FOTOS EN LA BASE DE DATOS.</t>
  </si>
  <si>
    <t xml:space="preserve">GRANADA MORTERO. </t>
  </si>
  <si>
    <t>SEÑALIZADA CON CINTA DE BALIZAR EN EL SUELO. PAINEL AZUL.</t>
  </si>
  <si>
    <t xml:space="preserve">RETIRADO. </t>
  </si>
  <si>
    <t>30T 0673571 4622526</t>
  </si>
  <si>
    <t>ELAC 1/II/11</t>
  </si>
  <si>
    <t>SEÑALIZA UNIDAD CON CIRCULO DE PIEDRAS Y UN TRONCO</t>
  </si>
  <si>
    <t>30T 0673530 4622890</t>
  </si>
  <si>
    <t>EADA</t>
  </si>
  <si>
    <t>SEÑALIZADA CON PIEDRAS. SOLO VISIBLE LA COLA.</t>
  </si>
  <si>
    <t>30T 0674650 4622200</t>
  </si>
  <si>
    <t>UAE</t>
  </si>
  <si>
    <t>30T 0674750 4620650</t>
  </si>
  <si>
    <t>BHELA I</t>
  </si>
  <si>
    <t>COHETE DE HELICOPTERO H.E. 68mm AMV</t>
  </si>
  <si>
    <t>DEPOSITADO EN ZONA EXPLOSIVOS BAUDIN</t>
  </si>
  <si>
    <t>NEUTRALIZADO POR METODO DE DESTRUCCION</t>
  </si>
  <si>
    <t>PROYECTIL 30 mm HELICOPTERO MULTIPROPOSITO</t>
  </si>
  <si>
    <t>COHETE DE HELICOPTERO INSTRUCCION. 68mm AMV</t>
  </si>
  <si>
    <t>NEUTRALIZADO POR METODO DE DESTRUCCION (UNIDAD DE ZAPADORES CON SUS MEDIOS)</t>
  </si>
  <si>
    <t>30T 0663471 4640756</t>
  </si>
  <si>
    <t>UAPO CENAD SAN GREGORIO</t>
  </si>
  <si>
    <t>PROYECTIL DE ARTILLERIA</t>
  </si>
  <si>
    <t>SEÑALIZADO CIRCULO PIEDRAS</t>
  </si>
  <si>
    <t>30T 0667350 4632741</t>
  </si>
  <si>
    <t>E-11</t>
  </si>
  <si>
    <t>GRANADA C-90 DISPARADA</t>
  </si>
  <si>
    <t>SEÑALIZADA CON PIQUETAS Y CINTA</t>
  </si>
  <si>
    <t>NEUTRALIZADO POR METODO DE DESTRUCCION.</t>
  </si>
  <si>
    <t>GRANADA MORTERO</t>
  </si>
  <si>
    <t>SEÑALIZADA CON CIRCULO DE PIEDRAS</t>
  </si>
  <si>
    <t>AÑO 2019</t>
  </si>
  <si>
    <t>30T 0665623 4640728</t>
  </si>
  <si>
    <t>BON BARCELONA II/62</t>
  </si>
  <si>
    <t>OJIVA MORTERO 120mm SIN EXPLOSIONAR</t>
  </si>
  <si>
    <t>SEÑALIZADA</t>
  </si>
  <si>
    <t>TRAS RECONOCIMIENTO SE DETERMINA QUE ES PROYECTIL DE 105 mm INSTRUCCION.</t>
  </si>
  <si>
    <t>ALCONTAN SIN DISPARAR</t>
  </si>
  <si>
    <t>DEPOSITADO EN ZCP PUIG AMARILLO. SEÑALIZADO CON CINTA AMARILLA</t>
  </si>
  <si>
    <t>30T 0673291 4622884</t>
  </si>
  <si>
    <t>02/2019</t>
  </si>
  <si>
    <t>EXPAL</t>
  </si>
  <si>
    <t>MORTERO 120 mm CON EXPOLETA DE TIEMPOS</t>
  </si>
  <si>
    <t>SEÑALIZADO CON PIQUETAS. COORDENADAS DADAS MGS 41 44 20.4 N, 00 54 58.1 O CONVERTIDAS A UTM</t>
  </si>
  <si>
    <t>RETIRADO POR PARTE DE LA EMPRESA EXPAL.</t>
  </si>
  <si>
    <t>30T 0674120 4621024</t>
  </si>
  <si>
    <t xml:space="preserve">COLA </t>
  </si>
  <si>
    <t>SEÑALIZADO CON PIEDRAS</t>
  </si>
  <si>
    <t>BRIGADA XI</t>
  </si>
  <si>
    <t>PROYECTIL 30 mm PIZARRO</t>
  </si>
  <si>
    <t>DEPISITADO EN F-23 / posteriormente en casa ibarra</t>
  </si>
  <si>
    <t>DESACTIVADA POR MÉTODO DE DESTRUCCIÓN.</t>
  </si>
  <si>
    <t>30T  0668012 4634721</t>
  </si>
  <si>
    <t>RACTA 4</t>
  </si>
  <si>
    <t>PROYECTIL (CANISTER)</t>
  </si>
  <si>
    <t>MARCADO CON PIEDRAS Y CINTA</t>
  </si>
  <si>
    <t>30T 0667466 4639541</t>
  </si>
  <si>
    <t>RING 1</t>
  </si>
  <si>
    <t>PROYECTIL ARTILLERIA</t>
  </si>
  <si>
    <t>MARCADO CON PIEDRAS, PIQUETA Y CINTA</t>
  </si>
  <si>
    <t>30T 0673394 4622746</t>
  </si>
  <si>
    <t>30T 0666834 4631914</t>
  </si>
  <si>
    <t>30T 0667857 4628662</t>
  </si>
  <si>
    <t>30T 06680 46280</t>
  </si>
  <si>
    <t>FECHA COMUNICACION</t>
  </si>
  <si>
    <t>FECHA DESTRUCCION</t>
  </si>
  <si>
    <t>UNIDAD COMUNICACION</t>
  </si>
  <si>
    <t>NÚMERO ARTF. COMUNICADOS</t>
  </si>
  <si>
    <t>OBSERVACIONES COMUNICACIÓN</t>
  </si>
  <si>
    <t>NÚMERO ARTF. DESTRUIDOS</t>
  </si>
  <si>
    <t>OBSERVACIONES DESTRUCCION</t>
  </si>
  <si>
    <t>30T 0667042 4635916</t>
  </si>
  <si>
    <t>BIMT LEGAZPI 1/67</t>
  </si>
  <si>
    <t>81 MM. GRANADA DE MORTERO FUMIGENO M-AE 84</t>
  </si>
  <si>
    <t>LOTE: 13-B-11. SEÑALIZADAS</t>
  </si>
  <si>
    <t>LOTE: 59-EOR-15. SEÑALIZADAS</t>
  </si>
  <si>
    <t>30TXM6940534487</t>
  </si>
  <si>
    <t>BIMT LEGAZPI 2/62</t>
  </si>
  <si>
    <t>PERCUTIDA, NO SALE DEL TUBO, SE EXTRAE Y DEPOSITA.</t>
  </si>
  <si>
    <t>DISPARADA SIN INICIADOR.</t>
  </si>
</sst>
</file>

<file path=xl/styles.xml><?xml version="1.0" encoding="utf-8"?>
<styleSheet xmlns="http://schemas.openxmlformats.org/spreadsheetml/2006/main">
  <numFmts count="1">
    <numFmt numFmtId="164" formatCode="dd/mm/yy"/>
  </numFmts>
  <fonts count="5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DDDDDD"/>
      </patternFill>
    </fill>
    <fill>
      <patternFill patternType="solid">
        <fgColor rgb="FF7FFF00"/>
        <bgColor rgb="FF00FF00"/>
      </patternFill>
    </fill>
    <fill>
      <patternFill patternType="solid">
        <fgColor rgb="FFFFF2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0" xfId="0" applyFont="1" applyAlignment="1" applyProtection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ont="1" applyFill="1" applyBorder="1"/>
    <xf numFmtId="14" fontId="0" fillId="4" borderId="1" xfId="0" applyNumberFormat="1" applyFill="1" applyBorder="1" applyAlignment="1">
      <alignment horizontal="center"/>
    </xf>
    <xf numFmtId="0" fontId="0" fillId="5" borderId="1" xfId="0" applyFont="1" applyFill="1" applyBorder="1"/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1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14" fontId="1" fillId="2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Fill="1" applyBorder="1"/>
    <xf numFmtId="0" fontId="3" fillId="6" borderId="1" xfId="0" applyFont="1" applyFill="1" applyBorder="1"/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9" borderId="1" xfId="0" applyFont="1" applyFill="1" applyBorder="1"/>
    <xf numFmtId="0" fontId="0" fillId="8" borderId="1" xfId="0" applyFill="1" applyBorder="1"/>
    <xf numFmtId="0" fontId="4" fillId="0" borderId="1" xfId="0" applyFont="1" applyBorder="1"/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CE181E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F00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view="pageBreakPreview" topLeftCell="A49" zoomScale="70" zoomScaleNormal="75" zoomScaleSheetLayoutView="70" workbookViewId="0">
      <pane xSplit="2" topLeftCell="J1" activePane="topRight" state="frozen"/>
      <selection pane="topRight" activeCell="A52" activeCellId="3" sqref="A48 A49 A50 A52"/>
    </sheetView>
  </sheetViews>
  <sheetFormatPr baseColWidth="10" defaultColWidth="9.140625" defaultRowHeight="15"/>
  <cols>
    <col min="1" max="1" width="9.85546875" style="1" customWidth="1"/>
    <col min="2" max="2" width="16" style="1" customWidth="1"/>
    <col min="3" max="3" width="29.7109375" style="1" customWidth="1"/>
    <col min="4" max="4" width="9.85546875" style="1" customWidth="1"/>
    <col min="5" max="5" width="17.140625" style="2" customWidth="1"/>
    <col min="6" max="6" width="15.28515625" style="3" hidden="1" customWidth="1"/>
    <col min="7" max="7" width="25.42578125" style="1" customWidth="1"/>
    <col min="8" max="8" width="67.5703125" style="1" customWidth="1"/>
    <col min="9" max="9" width="16.28515625" style="1" bestFit="1" customWidth="1"/>
    <col min="10" max="10" width="81.5703125" style="1" customWidth="1"/>
    <col min="11" max="11" width="15.28515625" style="3" customWidth="1"/>
    <col min="12" max="12" width="15.28515625" style="1" customWidth="1"/>
    <col min="13" max="13" width="93" style="1" customWidth="1"/>
    <col min="14" max="1025" width="10.7109375" customWidth="1"/>
  </cols>
  <sheetData>
    <row r="1" spans="1:14" s="4" customFormat="1" ht="47.25">
      <c r="A1" s="14" t="s">
        <v>0</v>
      </c>
      <c r="B1" s="14" t="s">
        <v>1</v>
      </c>
      <c r="C1" s="14" t="s">
        <v>2</v>
      </c>
      <c r="D1" s="14" t="s">
        <v>3</v>
      </c>
      <c r="E1" s="15" t="s">
        <v>200</v>
      </c>
      <c r="F1" s="12" t="s">
        <v>201</v>
      </c>
      <c r="G1" s="12" t="s">
        <v>202</v>
      </c>
      <c r="H1" s="12" t="s">
        <v>4</v>
      </c>
      <c r="I1" s="12" t="s">
        <v>203</v>
      </c>
      <c r="J1" s="12" t="s">
        <v>204</v>
      </c>
      <c r="K1" s="12" t="s">
        <v>201</v>
      </c>
      <c r="L1" s="12" t="s">
        <v>205</v>
      </c>
      <c r="M1" s="12" t="s">
        <v>206</v>
      </c>
      <c r="N1" s="13"/>
    </row>
    <row r="2" spans="1:14">
      <c r="A2" s="1">
        <v>4699</v>
      </c>
      <c r="B2" s="21" t="s">
        <v>5</v>
      </c>
      <c r="C2" s="1" t="s">
        <v>6</v>
      </c>
      <c r="D2" s="1" t="s">
        <v>7</v>
      </c>
      <c r="E2" s="2">
        <v>42846</v>
      </c>
      <c r="F2" s="5">
        <v>43158</v>
      </c>
      <c r="G2" s="1" t="s">
        <v>8</v>
      </c>
      <c r="H2" s="1" t="s">
        <v>9</v>
      </c>
      <c r="I2" s="1">
        <v>1</v>
      </c>
      <c r="J2" s="1" t="s">
        <v>10</v>
      </c>
      <c r="K2" s="5">
        <v>43158</v>
      </c>
      <c r="L2" s="1">
        <v>1</v>
      </c>
      <c r="M2" s="1" t="s">
        <v>11</v>
      </c>
    </row>
    <row r="3" spans="1:14">
      <c r="A3" s="1">
        <v>4732</v>
      </c>
      <c r="B3" s="6" t="s">
        <v>12</v>
      </c>
      <c r="C3" s="1" t="s">
        <v>13</v>
      </c>
      <c r="D3" s="1" t="s">
        <v>7</v>
      </c>
      <c r="E3" s="2">
        <v>43028</v>
      </c>
      <c r="F3" s="5">
        <v>43285</v>
      </c>
      <c r="G3" s="1" t="s">
        <v>14</v>
      </c>
      <c r="H3" s="1" t="s">
        <v>15</v>
      </c>
      <c r="I3" s="1">
        <v>1</v>
      </c>
      <c r="K3" s="5">
        <v>43285</v>
      </c>
      <c r="L3" s="1">
        <v>1</v>
      </c>
      <c r="M3" s="1" t="s">
        <v>16</v>
      </c>
    </row>
    <row r="4" spans="1:14">
      <c r="A4" s="1">
        <v>4741</v>
      </c>
      <c r="B4" s="21" t="s">
        <v>5</v>
      </c>
      <c r="C4" s="1" t="s">
        <v>17</v>
      </c>
      <c r="D4" s="1" t="s">
        <v>7</v>
      </c>
      <c r="E4" s="2">
        <v>43032</v>
      </c>
      <c r="F4" s="7">
        <v>43516</v>
      </c>
      <c r="G4" s="1" t="s">
        <v>8</v>
      </c>
      <c r="H4" s="1" t="s">
        <v>18</v>
      </c>
      <c r="I4" s="1">
        <v>2</v>
      </c>
      <c r="J4" s="1" t="s">
        <v>19</v>
      </c>
      <c r="K4" s="20"/>
      <c r="M4" s="1" t="s">
        <v>20</v>
      </c>
    </row>
    <row r="5" spans="1:14">
      <c r="A5" s="1">
        <v>4742</v>
      </c>
      <c r="B5" s="21" t="s">
        <v>5</v>
      </c>
      <c r="C5" s="1" t="s">
        <v>17</v>
      </c>
      <c r="D5" s="1" t="s">
        <v>7</v>
      </c>
      <c r="E5" s="2">
        <v>43032</v>
      </c>
      <c r="F5" s="7">
        <v>43516</v>
      </c>
      <c r="G5" s="1" t="s">
        <v>8</v>
      </c>
      <c r="H5" s="1" t="s">
        <v>18</v>
      </c>
      <c r="I5" s="1">
        <v>2</v>
      </c>
      <c r="J5" s="1" t="s">
        <v>19</v>
      </c>
      <c r="K5" s="20"/>
      <c r="M5" s="1" t="s">
        <v>20</v>
      </c>
    </row>
    <row r="6" spans="1:14">
      <c r="A6" s="1">
        <v>4743</v>
      </c>
      <c r="B6" s="8" t="s">
        <v>21</v>
      </c>
      <c r="C6" s="1" t="s">
        <v>17</v>
      </c>
      <c r="D6" s="1" t="s">
        <v>7</v>
      </c>
      <c r="E6" s="2">
        <v>43032</v>
      </c>
      <c r="G6" s="1" t="s">
        <v>8</v>
      </c>
      <c r="H6" s="1" t="s">
        <v>18</v>
      </c>
      <c r="I6" s="1">
        <v>2</v>
      </c>
      <c r="J6" s="1" t="s">
        <v>19</v>
      </c>
      <c r="M6" s="1" t="s">
        <v>20</v>
      </c>
    </row>
    <row r="7" spans="1:14">
      <c r="A7" s="1">
        <v>4744</v>
      </c>
      <c r="B7" s="8" t="s">
        <v>21</v>
      </c>
      <c r="C7" s="1" t="s">
        <v>17</v>
      </c>
      <c r="D7" s="1" t="s">
        <v>7</v>
      </c>
      <c r="E7" s="2">
        <v>43032</v>
      </c>
      <c r="G7" s="1" t="s">
        <v>8</v>
      </c>
      <c r="H7" s="1" t="s">
        <v>18</v>
      </c>
      <c r="I7" s="1">
        <v>2</v>
      </c>
      <c r="J7" s="1" t="s">
        <v>19</v>
      </c>
      <c r="M7" s="1" t="s">
        <v>20</v>
      </c>
    </row>
    <row r="8" spans="1:14">
      <c r="A8" s="1">
        <v>4752</v>
      </c>
      <c r="B8" s="6" t="s">
        <v>12</v>
      </c>
      <c r="C8" s="1" t="s">
        <v>22</v>
      </c>
      <c r="D8" s="1" t="s">
        <v>7</v>
      </c>
      <c r="E8" s="2">
        <v>43041</v>
      </c>
      <c r="F8" s="5">
        <v>43196</v>
      </c>
      <c r="G8" s="1" t="s">
        <v>23</v>
      </c>
      <c r="H8" s="1" t="s">
        <v>24</v>
      </c>
      <c r="I8" s="1">
        <v>1</v>
      </c>
      <c r="J8" s="1" t="s">
        <v>25</v>
      </c>
      <c r="K8" s="5">
        <v>43196</v>
      </c>
      <c r="L8" s="1">
        <v>1</v>
      </c>
      <c r="M8" s="1" t="s">
        <v>26</v>
      </c>
    </row>
    <row r="9" spans="1:14">
      <c r="A9" s="1">
        <v>4756</v>
      </c>
      <c r="B9" s="6" t="s">
        <v>12</v>
      </c>
      <c r="C9" s="1" t="s">
        <v>27</v>
      </c>
      <c r="D9" s="1" t="s">
        <v>7</v>
      </c>
      <c r="E9" s="2">
        <v>43048</v>
      </c>
      <c r="F9" s="5">
        <v>43167</v>
      </c>
      <c r="G9" s="1" t="s">
        <v>28</v>
      </c>
      <c r="H9" s="1" t="s">
        <v>29</v>
      </c>
      <c r="I9" s="1">
        <v>2</v>
      </c>
      <c r="J9" s="1" t="s">
        <v>30</v>
      </c>
      <c r="K9" s="5">
        <v>43167</v>
      </c>
      <c r="L9" s="1">
        <v>9</v>
      </c>
      <c r="M9" s="1" t="s">
        <v>31</v>
      </c>
    </row>
    <row r="10" spans="1:14">
      <c r="A10" s="1">
        <v>4789</v>
      </c>
      <c r="B10" s="8" t="s">
        <v>21</v>
      </c>
      <c r="C10" s="1" t="s">
        <v>17</v>
      </c>
      <c r="D10" s="1" t="s">
        <v>7</v>
      </c>
      <c r="E10" s="2">
        <v>43069</v>
      </c>
      <c r="G10" s="1" t="s">
        <v>8</v>
      </c>
      <c r="H10" s="1" t="s">
        <v>18</v>
      </c>
      <c r="I10" s="1">
        <v>2</v>
      </c>
      <c r="J10" s="1" t="s">
        <v>19</v>
      </c>
      <c r="M10" s="1" t="s">
        <v>20</v>
      </c>
    </row>
    <row r="11" spans="1:14">
      <c r="A11" s="1">
        <v>4790</v>
      </c>
      <c r="B11" s="8" t="s">
        <v>21</v>
      </c>
      <c r="C11" s="1" t="s">
        <v>17</v>
      </c>
      <c r="D11" s="1" t="s">
        <v>7</v>
      </c>
      <c r="E11" s="2">
        <v>43069</v>
      </c>
      <c r="G11" s="1" t="s">
        <v>8</v>
      </c>
      <c r="H11" s="1" t="s">
        <v>18</v>
      </c>
      <c r="I11" s="1">
        <v>2</v>
      </c>
      <c r="J11" s="1" t="s">
        <v>19</v>
      </c>
      <c r="M11" s="1" t="s">
        <v>20</v>
      </c>
    </row>
    <row r="12" spans="1:14">
      <c r="A12" s="1">
        <v>4791</v>
      </c>
      <c r="B12" s="8" t="s">
        <v>21</v>
      </c>
      <c r="C12" s="1" t="s">
        <v>17</v>
      </c>
      <c r="D12" s="1" t="s">
        <v>7</v>
      </c>
      <c r="E12" s="2">
        <v>43069</v>
      </c>
      <c r="G12" s="1" t="s">
        <v>8</v>
      </c>
      <c r="H12" s="1" t="s">
        <v>18</v>
      </c>
      <c r="I12" s="1">
        <v>1</v>
      </c>
      <c r="J12" s="1" t="s">
        <v>19</v>
      </c>
      <c r="M12" s="1" t="s">
        <v>20</v>
      </c>
    </row>
    <row r="13" spans="1:14">
      <c r="A13" s="1">
        <v>4792</v>
      </c>
      <c r="B13" s="8" t="s">
        <v>21</v>
      </c>
      <c r="C13" s="1" t="s">
        <v>17</v>
      </c>
      <c r="D13" s="1" t="s">
        <v>7</v>
      </c>
      <c r="E13" s="2">
        <v>43069</v>
      </c>
      <c r="G13" s="1" t="s">
        <v>8</v>
      </c>
      <c r="H13" s="1" t="s">
        <v>18</v>
      </c>
      <c r="I13" s="1">
        <v>2</v>
      </c>
      <c r="J13" s="1" t="s">
        <v>19</v>
      </c>
      <c r="M13" s="1" t="s">
        <v>20</v>
      </c>
    </row>
    <row r="14" spans="1:14">
      <c r="A14" s="1">
        <v>4793</v>
      </c>
      <c r="B14" s="21" t="s">
        <v>5</v>
      </c>
      <c r="C14" s="1" t="s">
        <v>6</v>
      </c>
      <c r="D14" s="1" t="s">
        <v>7</v>
      </c>
      <c r="E14" s="2">
        <v>43091</v>
      </c>
      <c r="F14" s="5">
        <v>43168</v>
      </c>
      <c r="G14" s="1" t="s">
        <v>8</v>
      </c>
      <c r="H14" s="1" t="s">
        <v>32</v>
      </c>
      <c r="I14" s="1">
        <v>1</v>
      </c>
      <c r="J14" s="1" t="s">
        <v>19</v>
      </c>
      <c r="K14" s="5">
        <v>43168</v>
      </c>
      <c r="L14" s="1">
        <v>1</v>
      </c>
      <c r="M14" s="1" t="s">
        <v>33</v>
      </c>
    </row>
    <row r="15" spans="1:14">
      <c r="A15" s="1">
        <v>4794</v>
      </c>
      <c r="B15" s="21" t="s">
        <v>5</v>
      </c>
      <c r="C15" s="1" t="s">
        <v>6</v>
      </c>
      <c r="D15" s="1" t="s">
        <v>7</v>
      </c>
      <c r="E15" s="2">
        <v>43091</v>
      </c>
      <c r="F15" s="5">
        <v>43168</v>
      </c>
      <c r="G15" s="1" t="s">
        <v>8</v>
      </c>
      <c r="H15" s="1" t="s">
        <v>34</v>
      </c>
      <c r="I15" s="1">
        <v>1</v>
      </c>
      <c r="K15" s="5">
        <v>43168</v>
      </c>
      <c r="L15" s="1">
        <v>1</v>
      </c>
    </row>
    <row r="16" spans="1:14">
      <c r="A16" s="1">
        <v>4795</v>
      </c>
      <c r="B16" s="21" t="s">
        <v>5</v>
      </c>
      <c r="C16" s="1" t="s">
        <v>6</v>
      </c>
      <c r="D16" s="1" t="s">
        <v>7</v>
      </c>
      <c r="E16" s="2">
        <v>43091</v>
      </c>
      <c r="F16" s="5">
        <v>43168</v>
      </c>
      <c r="G16" s="1" t="s">
        <v>8</v>
      </c>
      <c r="H16" s="1" t="s">
        <v>35</v>
      </c>
      <c r="I16" s="1">
        <v>1</v>
      </c>
      <c r="K16" s="5">
        <v>43168</v>
      </c>
      <c r="L16" s="1">
        <v>1</v>
      </c>
    </row>
    <row r="17" spans="1:13">
      <c r="A17" s="1">
        <v>4796</v>
      </c>
      <c r="B17" s="6" t="s">
        <v>12</v>
      </c>
      <c r="C17" s="1" t="s">
        <v>36</v>
      </c>
      <c r="D17" s="1" t="s">
        <v>7</v>
      </c>
      <c r="E17" s="2">
        <v>43091</v>
      </c>
      <c r="F17" s="5">
        <v>43168</v>
      </c>
      <c r="G17" s="1" t="s">
        <v>8</v>
      </c>
      <c r="H17" s="1" t="s">
        <v>37</v>
      </c>
      <c r="I17" s="1">
        <v>1</v>
      </c>
      <c r="K17" s="5">
        <v>43168</v>
      </c>
      <c r="L17" s="1">
        <v>1</v>
      </c>
    </row>
    <row r="18" spans="1:13">
      <c r="A18" s="1">
        <v>4804</v>
      </c>
      <c r="B18" s="21" t="s">
        <v>5</v>
      </c>
      <c r="C18" s="1" t="s">
        <v>6</v>
      </c>
      <c r="D18" s="1" t="s">
        <v>7</v>
      </c>
      <c r="E18" s="2">
        <v>43138</v>
      </c>
      <c r="F18" s="5">
        <v>43168</v>
      </c>
      <c r="G18" s="1" t="s">
        <v>38</v>
      </c>
      <c r="H18" s="1" t="s">
        <v>9</v>
      </c>
      <c r="I18" s="1">
        <v>1</v>
      </c>
      <c r="K18" s="5">
        <v>43168</v>
      </c>
      <c r="L18" s="1">
        <v>1</v>
      </c>
    </row>
    <row r="19" spans="1:13">
      <c r="A19" s="1">
        <v>4805</v>
      </c>
      <c r="B19" s="6" t="s">
        <v>12</v>
      </c>
      <c r="C19" s="1" t="s">
        <v>39</v>
      </c>
      <c r="D19" s="1" t="s">
        <v>7</v>
      </c>
      <c r="E19" s="2">
        <v>43139</v>
      </c>
      <c r="F19" s="5">
        <v>43158</v>
      </c>
      <c r="G19" s="1" t="s">
        <v>38</v>
      </c>
      <c r="H19" s="1" t="s">
        <v>9</v>
      </c>
      <c r="I19" s="1">
        <v>1</v>
      </c>
      <c r="K19" s="5">
        <v>43158</v>
      </c>
      <c r="L19" s="1">
        <v>1</v>
      </c>
    </row>
    <row r="20" spans="1:13">
      <c r="A20" s="1">
        <v>4806</v>
      </c>
      <c r="B20" s="22" t="s">
        <v>40</v>
      </c>
      <c r="C20" s="1" t="s">
        <v>6</v>
      </c>
      <c r="D20" s="1" t="s">
        <v>7</v>
      </c>
      <c r="E20" s="2">
        <v>43138</v>
      </c>
      <c r="F20" s="5">
        <v>43192</v>
      </c>
      <c r="G20" s="1" t="s">
        <v>38</v>
      </c>
      <c r="H20" s="1" t="s">
        <v>9</v>
      </c>
      <c r="I20" s="1">
        <v>1</v>
      </c>
      <c r="J20" s="1" t="s">
        <v>41</v>
      </c>
      <c r="K20" s="5">
        <v>43192</v>
      </c>
      <c r="L20" s="1">
        <v>1</v>
      </c>
      <c r="M20" s="1" t="s">
        <v>42</v>
      </c>
    </row>
    <row r="21" spans="1:13">
      <c r="A21" s="1">
        <v>4807</v>
      </c>
      <c r="B21" s="21" t="s">
        <v>5</v>
      </c>
      <c r="C21" s="1" t="s">
        <v>6</v>
      </c>
      <c r="D21" s="1" t="s">
        <v>7</v>
      </c>
      <c r="E21" s="2">
        <v>43139</v>
      </c>
      <c r="F21" s="5">
        <v>43140</v>
      </c>
      <c r="G21" s="1" t="s">
        <v>38</v>
      </c>
      <c r="H21" s="1" t="s">
        <v>43</v>
      </c>
      <c r="I21" s="1">
        <v>2</v>
      </c>
      <c r="J21" s="1" t="s">
        <v>44</v>
      </c>
      <c r="K21" s="26">
        <v>43140</v>
      </c>
      <c r="L21" s="1">
        <v>2</v>
      </c>
      <c r="M21" s="1" t="s">
        <v>45</v>
      </c>
    </row>
    <row r="22" spans="1:13">
      <c r="A22" s="1">
        <v>4816</v>
      </c>
      <c r="B22" s="21" t="s">
        <v>5</v>
      </c>
      <c r="C22" s="1" t="s">
        <v>6</v>
      </c>
      <c r="D22" s="1" t="s">
        <v>7</v>
      </c>
      <c r="E22" s="2">
        <v>43140</v>
      </c>
      <c r="F22" s="5">
        <v>43144</v>
      </c>
      <c r="G22" s="1" t="s">
        <v>46</v>
      </c>
      <c r="H22" s="1" t="s">
        <v>47</v>
      </c>
      <c r="I22" s="1">
        <v>1</v>
      </c>
      <c r="J22" s="1" t="s">
        <v>48</v>
      </c>
      <c r="K22" s="5">
        <v>43144</v>
      </c>
      <c r="L22" s="1">
        <v>1</v>
      </c>
      <c r="M22" s="1" t="s">
        <v>26</v>
      </c>
    </row>
    <row r="23" spans="1:13">
      <c r="A23" s="1">
        <v>4817</v>
      </c>
      <c r="B23" s="6" t="s">
        <v>12</v>
      </c>
      <c r="C23" s="1" t="s">
        <v>49</v>
      </c>
      <c r="D23" s="1" t="s">
        <v>7</v>
      </c>
      <c r="E23" s="2">
        <v>43139</v>
      </c>
      <c r="F23" s="5">
        <v>43158</v>
      </c>
      <c r="G23" s="1" t="s">
        <v>38</v>
      </c>
      <c r="H23" s="1" t="s">
        <v>15</v>
      </c>
      <c r="I23" s="1">
        <v>1</v>
      </c>
      <c r="J23" s="1" t="s">
        <v>30</v>
      </c>
      <c r="K23" s="5">
        <v>43158</v>
      </c>
      <c r="L23" s="1">
        <v>1</v>
      </c>
    </row>
    <row r="24" spans="1:13">
      <c r="A24" s="1">
        <v>4819</v>
      </c>
      <c r="B24" s="6" t="s">
        <v>12</v>
      </c>
      <c r="C24" s="1" t="s">
        <v>50</v>
      </c>
      <c r="D24" s="1" t="s">
        <v>7</v>
      </c>
      <c r="E24" s="2">
        <v>43158</v>
      </c>
      <c r="F24" s="5">
        <v>43158</v>
      </c>
      <c r="G24" s="1" t="s">
        <v>8</v>
      </c>
      <c r="H24" s="1" t="s">
        <v>51</v>
      </c>
      <c r="I24" s="1">
        <v>1</v>
      </c>
      <c r="J24" s="1" t="s">
        <v>52</v>
      </c>
      <c r="K24" s="5">
        <v>43158</v>
      </c>
      <c r="L24" s="1">
        <v>1</v>
      </c>
      <c r="M24" s="1" t="s">
        <v>53</v>
      </c>
    </row>
    <row r="25" spans="1:13">
      <c r="A25" s="1">
        <v>4820</v>
      </c>
      <c r="B25" s="6" t="s">
        <v>12</v>
      </c>
      <c r="C25" s="1" t="s">
        <v>54</v>
      </c>
      <c r="D25" s="1" t="s">
        <v>7</v>
      </c>
      <c r="E25" s="2">
        <v>43158</v>
      </c>
      <c r="F25" s="5">
        <v>43158</v>
      </c>
      <c r="G25" s="1" t="s">
        <v>8</v>
      </c>
      <c r="H25" s="1" t="s">
        <v>51</v>
      </c>
      <c r="I25" s="1">
        <v>1</v>
      </c>
      <c r="J25" s="1" t="s">
        <v>52</v>
      </c>
      <c r="K25" s="5">
        <v>43158</v>
      </c>
      <c r="L25" s="1">
        <v>1</v>
      </c>
      <c r="M25" s="1" t="s">
        <v>53</v>
      </c>
    </row>
    <row r="26" spans="1:13">
      <c r="A26" s="1">
        <v>4821</v>
      </c>
      <c r="B26" s="6" t="s">
        <v>12</v>
      </c>
      <c r="C26" s="1" t="s">
        <v>54</v>
      </c>
      <c r="D26" s="1" t="s">
        <v>7</v>
      </c>
      <c r="E26" s="2">
        <v>43158</v>
      </c>
      <c r="F26" s="5">
        <v>43158</v>
      </c>
      <c r="G26" s="1" t="s">
        <v>8</v>
      </c>
      <c r="H26" s="1" t="s">
        <v>51</v>
      </c>
      <c r="I26" s="1">
        <v>1</v>
      </c>
      <c r="J26" s="1" t="s">
        <v>52</v>
      </c>
      <c r="K26" s="5">
        <v>43158</v>
      </c>
      <c r="L26" s="1">
        <v>1</v>
      </c>
      <c r="M26" s="1" t="s">
        <v>53</v>
      </c>
    </row>
    <row r="27" spans="1:13">
      <c r="A27" s="1">
        <v>4822</v>
      </c>
      <c r="B27" s="22" t="s">
        <v>40</v>
      </c>
      <c r="C27" s="1" t="s">
        <v>6</v>
      </c>
      <c r="D27" s="1" t="s">
        <v>7</v>
      </c>
      <c r="E27" s="2">
        <v>43158</v>
      </c>
      <c r="F27" s="5">
        <v>43192</v>
      </c>
      <c r="G27" s="1" t="s">
        <v>8</v>
      </c>
      <c r="H27" s="1" t="s">
        <v>55</v>
      </c>
      <c r="I27" s="1">
        <v>1</v>
      </c>
      <c r="J27" s="1" t="s">
        <v>56</v>
      </c>
      <c r="K27" s="5">
        <v>43192</v>
      </c>
      <c r="L27" s="1">
        <v>1</v>
      </c>
      <c r="M27" s="1" t="s">
        <v>42</v>
      </c>
    </row>
    <row r="28" spans="1:13">
      <c r="A28" s="1">
        <v>4823</v>
      </c>
      <c r="B28" s="6" t="s">
        <v>12</v>
      </c>
      <c r="C28" s="1" t="s">
        <v>27</v>
      </c>
      <c r="D28" s="1" t="s">
        <v>7</v>
      </c>
      <c r="E28" s="2">
        <v>43158</v>
      </c>
      <c r="F28" s="5">
        <v>43158</v>
      </c>
      <c r="G28" s="1" t="s">
        <v>8</v>
      </c>
      <c r="H28" s="1" t="s">
        <v>51</v>
      </c>
      <c r="I28" s="1">
        <v>1</v>
      </c>
      <c r="J28" s="1" t="s">
        <v>52</v>
      </c>
      <c r="K28" s="5">
        <v>43158</v>
      </c>
      <c r="L28" s="1">
        <v>1</v>
      </c>
      <c r="M28" s="1" t="s">
        <v>26</v>
      </c>
    </row>
    <row r="29" spans="1:13">
      <c r="A29" s="1">
        <v>4824</v>
      </c>
      <c r="B29" s="21" t="s">
        <v>5</v>
      </c>
      <c r="C29" s="1" t="s">
        <v>6</v>
      </c>
      <c r="D29" s="1" t="s">
        <v>7</v>
      </c>
      <c r="E29" s="2">
        <v>43168</v>
      </c>
      <c r="F29" s="5">
        <v>43168</v>
      </c>
      <c r="G29" s="1" t="s">
        <v>8</v>
      </c>
      <c r="H29" s="1" t="s">
        <v>57</v>
      </c>
      <c r="I29" s="1">
        <v>1</v>
      </c>
      <c r="K29" s="5">
        <v>43168</v>
      </c>
      <c r="L29" s="1">
        <v>1</v>
      </c>
    </row>
    <row r="30" spans="1:13">
      <c r="A30" s="1">
        <v>4825</v>
      </c>
      <c r="B30" s="21" t="s">
        <v>5</v>
      </c>
      <c r="C30" s="1" t="s">
        <v>6</v>
      </c>
      <c r="D30" s="1" t="s">
        <v>7</v>
      </c>
      <c r="E30" s="2">
        <v>43168</v>
      </c>
      <c r="F30" s="5">
        <v>43168</v>
      </c>
      <c r="G30" s="1" t="s">
        <v>8</v>
      </c>
      <c r="H30" s="1" t="s">
        <v>57</v>
      </c>
      <c r="I30" s="1">
        <v>1</v>
      </c>
      <c r="K30" s="5">
        <v>43168</v>
      </c>
      <c r="L30" s="1">
        <v>1</v>
      </c>
    </row>
    <row r="31" spans="1:13">
      <c r="A31" s="1">
        <v>4831</v>
      </c>
      <c r="B31" s="6" t="s">
        <v>12</v>
      </c>
      <c r="C31" s="1" t="s">
        <v>22</v>
      </c>
      <c r="D31" s="1" t="s">
        <v>7</v>
      </c>
      <c r="E31" s="2">
        <v>43168</v>
      </c>
      <c r="F31" s="5">
        <v>43196</v>
      </c>
      <c r="G31" s="1" t="s">
        <v>58</v>
      </c>
      <c r="H31" s="1" t="s">
        <v>15</v>
      </c>
      <c r="I31" s="1">
        <v>1</v>
      </c>
      <c r="J31" s="1" t="s">
        <v>59</v>
      </c>
      <c r="K31" s="5">
        <v>43196</v>
      </c>
      <c r="L31" s="1">
        <v>1</v>
      </c>
      <c r="M31" s="1" t="s">
        <v>26</v>
      </c>
    </row>
    <row r="32" spans="1:13">
      <c r="A32" s="1">
        <v>4832</v>
      </c>
      <c r="B32" s="6" t="s">
        <v>12</v>
      </c>
      <c r="C32" s="1" t="s">
        <v>22</v>
      </c>
      <c r="D32" s="1" t="s">
        <v>7</v>
      </c>
      <c r="E32" s="2">
        <v>43168</v>
      </c>
      <c r="F32" s="5">
        <v>43196</v>
      </c>
      <c r="G32" s="1" t="s">
        <v>58</v>
      </c>
      <c r="H32" s="1" t="s">
        <v>15</v>
      </c>
      <c r="I32" s="1">
        <v>1</v>
      </c>
      <c r="J32" s="1" t="s">
        <v>59</v>
      </c>
      <c r="K32" s="5">
        <v>43196</v>
      </c>
      <c r="L32" s="1">
        <v>1</v>
      </c>
      <c r="M32" s="1" t="s">
        <v>26</v>
      </c>
    </row>
    <row r="33" spans="1:13">
      <c r="A33" s="1">
        <v>4833</v>
      </c>
      <c r="B33" s="21" t="s">
        <v>5</v>
      </c>
      <c r="C33" s="1" t="s">
        <v>6</v>
      </c>
      <c r="D33" s="1" t="s">
        <v>7</v>
      </c>
      <c r="E33" s="2">
        <v>43175</v>
      </c>
      <c r="F33" s="5">
        <v>43179</v>
      </c>
      <c r="G33" s="1" t="s">
        <v>60</v>
      </c>
      <c r="H33" s="1" t="s">
        <v>61</v>
      </c>
      <c r="I33" s="1">
        <v>1</v>
      </c>
      <c r="J33" s="1" t="s">
        <v>62</v>
      </c>
      <c r="K33" s="5">
        <v>43179</v>
      </c>
      <c r="L33" s="1">
        <v>1</v>
      </c>
    </row>
    <row r="34" spans="1:13">
      <c r="A34" s="1">
        <v>4836</v>
      </c>
      <c r="B34" s="22" t="s">
        <v>40</v>
      </c>
      <c r="C34" s="1" t="s">
        <v>6</v>
      </c>
      <c r="D34" s="1" t="s">
        <v>7</v>
      </c>
      <c r="E34" s="2">
        <v>43158</v>
      </c>
      <c r="F34" s="5">
        <v>43192</v>
      </c>
      <c r="G34" s="1" t="s">
        <v>60</v>
      </c>
      <c r="H34" s="1" t="s">
        <v>63</v>
      </c>
      <c r="I34" s="1">
        <v>1</v>
      </c>
      <c r="J34" s="1" t="s">
        <v>62</v>
      </c>
      <c r="K34" s="5">
        <v>43192</v>
      </c>
      <c r="L34" s="1">
        <v>1</v>
      </c>
      <c r="M34" s="1" t="s">
        <v>42</v>
      </c>
    </row>
    <row r="35" spans="1:13">
      <c r="A35" s="1">
        <v>4837</v>
      </c>
      <c r="B35" s="21" t="s">
        <v>5</v>
      </c>
      <c r="C35" s="1" t="s">
        <v>6</v>
      </c>
      <c r="D35" s="1" t="s">
        <v>7</v>
      </c>
      <c r="E35" s="2">
        <v>43182</v>
      </c>
      <c r="F35" s="5">
        <v>43185</v>
      </c>
      <c r="G35" s="1" t="s">
        <v>8</v>
      </c>
      <c r="H35" s="1" t="s">
        <v>64</v>
      </c>
      <c r="I35" s="1">
        <v>1</v>
      </c>
      <c r="J35" s="1" t="s">
        <v>59</v>
      </c>
      <c r="K35" s="5">
        <v>43185</v>
      </c>
      <c r="L35" s="1">
        <v>1</v>
      </c>
    </row>
    <row r="36" spans="1:13">
      <c r="A36" s="1">
        <v>4838</v>
      </c>
      <c r="B36" s="6" t="s">
        <v>12</v>
      </c>
      <c r="C36" s="1" t="s">
        <v>65</v>
      </c>
      <c r="D36" s="1" t="s">
        <v>7</v>
      </c>
      <c r="E36" s="2">
        <v>43184</v>
      </c>
      <c r="F36" s="5">
        <v>43193</v>
      </c>
      <c r="G36" s="1" t="s">
        <v>8</v>
      </c>
      <c r="H36" s="1" t="s">
        <v>66</v>
      </c>
      <c r="I36" s="1">
        <v>1</v>
      </c>
      <c r="J36" s="1" t="s">
        <v>67</v>
      </c>
      <c r="K36" s="5">
        <v>43193</v>
      </c>
      <c r="L36" s="1">
        <v>1</v>
      </c>
      <c r="M36" s="1" t="s">
        <v>68</v>
      </c>
    </row>
    <row r="37" spans="1:13">
      <c r="A37" s="1">
        <v>4839</v>
      </c>
      <c r="B37" s="8" t="s">
        <v>21</v>
      </c>
      <c r="C37" s="1" t="s">
        <v>69</v>
      </c>
      <c r="D37" s="1" t="s">
        <v>7</v>
      </c>
      <c r="E37" s="2">
        <v>43193</v>
      </c>
      <c r="G37" s="1" t="s">
        <v>60</v>
      </c>
      <c r="H37" s="1" t="s">
        <v>15</v>
      </c>
      <c r="I37" s="1">
        <v>1</v>
      </c>
      <c r="J37" s="1" t="s">
        <v>41</v>
      </c>
    </row>
    <row r="38" spans="1:13">
      <c r="A38" s="1">
        <v>4840</v>
      </c>
      <c r="B38" s="6" t="s">
        <v>12</v>
      </c>
      <c r="C38" s="1" t="s">
        <v>70</v>
      </c>
      <c r="D38" s="1" t="s">
        <v>7</v>
      </c>
      <c r="E38" s="2">
        <v>43196</v>
      </c>
      <c r="F38" s="5">
        <v>43196</v>
      </c>
      <c r="G38" s="1" t="s">
        <v>71</v>
      </c>
      <c r="H38" s="1" t="s">
        <v>9</v>
      </c>
      <c r="I38" s="1">
        <v>1</v>
      </c>
      <c r="J38" s="1" t="s">
        <v>72</v>
      </c>
      <c r="K38" s="5">
        <v>43196</v>
      </c>
      <c r="L38" s="1">
        <v>1</v>
      </c>
      <c r="M38" s="1" t="s">
        <v>26</v>
      </c>
    </row>
    <row r="39" spans="1:13">
      <c r="A39" s="1">
        <v>4841</v>
      </c>
      <c r="B39" s="6" t="s">
        <v>12</v>
      </c>
      <c r="C39" s="1" t="s">
        <v>70</v>
      </c>
      <c r="D39" s="1" t="s">
        <v>7</v>
      </c>
      <c r="E39" s="2">
        <v>43196</v>
      </c>
      <c r="F39" s="5">
        <v>43196</v>
      </c>
      <c r="G39" s="1" t="s">
        <v>71</v>
      </c>
      <c r="H39" s="1" t="s">
        <v>9</v>
      </c>
      <c r="I39" s="1">
        <v>1</v>
      </c>
      <c r="J39" s="1" t="s">
        <v>72</v>
      </c>
      <c r="K39" s="5">
        <v>43196</v>
      </c>
      <c r="L39" s="1">
        <v>1</v>
      </c>
      <c r="M39" s="1" t="s">
        <v>26</v>
      </c>
    </row>
    <row r="40" spans="1:13">
      <c r="A40" s="1">
        <v>4842</v>
      </c>
      <c r="B40" s="1" t="s">
        <v>73</v>
      </c>
      <c r="C40" s="1" t="s">
        <v>74</v>
      </c>
      <c r="D40" s="1" t="s">
        <v>7</v>
      </c>
      <c r="E40" s="2">
        <v>43196</v>
      </c>
      <c r="G40" s="1" t="s">
        <v>71</v>
      </c>
      <c r="H40" s="1" t="s">
        <v>75</v>
      </c>
      <c r="I40" s="1">
        <v>1</v>
      </c>
      <c r="J40" s="1" t="s">
        <v>72</v>
      </c>
    </row>
    <row r="41" spans="1:13">
      <c r="A41" s="1">
        <v>4843</v>
      </c>
      <c r="B41" s="1" t="s">
        <v>73</v>
      </c>
      <c r="C41" s="1" t="s">
        <v>76</v>
      </c>
      <c r="D41" s="1" t="s">
        <v>7</v>
      </c>
      <c r="E41" s="2">
        <v>43196</v>
      </c>
      <c r="G41" s="1" t="s">
        <v>71</v>
      </c>
      <c r="H41" s="1" t="s">
        <v>75</v>
      </c>
      <c r="I41" s="1">
        <v>1</v>
      </c>
      <c r="J41" s="1" t="s">
        <v>72</v>
      </c>
    </row>
    <row r="42" spans="1:13">
      <c r="A42" s="23">
        <v>4844</v>
      </c>
      <c r="B42" s="8" t="s">
        <v>21</v>
      </c>
      <c r="C42" s="1" t="s">
        <v>77</v>
      </c>
      <c r="D42" s="1" t="s">
        <v>7</v>
      </c>
      <c r="E42" s="2">
        <v>43196</v>
      </c>
      <c r="G42" s="1" t="s">
        <v>71</v>
      </c>
      <c r="H42" s="1" t="s">
        <v>78</v>
      </c>
      <c r="I42" s="1">
        <v>1</v>
      </c>
      <c r="J42" s="1" t="s">
        <v>72</v>
      </c>
      <c r="M42" s="1" t="s">
        <v>79</v>
      </c>
    </row>
    <row r="43" spans="1:13">
      <c r="A43" s="1">
        <v>4845</v>
      </c>
      <c r="B43" s="8" t="s">
        <v>21</v>
      </c>
      <c r="C43" s="1" t="s">
        <v>80</v>
      </c>
      <c r="D43" s="1" t="s">
        <v>7</v>
      </c>
      <c r="E43" s="2">
        <v>43196</v>
      </c>
      <c r="G43" s="1" t="s">
        <v>71</v>
      </c>
      <c r="H43" s="1" t="s">
        <v>81</v>
      </c>
      <c r="I43" s="1">
        <v>1</v>
      </c>
      <c r="J43" s="1" t="s">
        <v>72</v>
      </c>
    </row>
    <row r="44" spans="1:13">
      <c r="A44" s="1">
        <v>4846</v>
      </c>
      <c r="B44" s="6" t="s">
        <v>12</v>
      </c>
      <c r="C44" s="1" t="s">
        <v>70</v>
      </c>
      <c r="D44" s="1" t="s">
        <v>7</v>
      </c>
      <c r="E44" s="2">
        <v>43168</v>
      </c>
      <c r="F44" s="5">
        <v>43196</v>
      </c>
      <c r="G44" s="1" t="s">
        <v>58</v>
      </c>
      <c r="H44" s="1" t="s">
        <v>82</v>
      </c>
      <c r="I44" s="1">
        <v>1</v>
      </c>
      <c r="J44" s="1" t="s">
        <v>59</v>
      </c>
      <c r="K44" s="5">
        <v>43196</v>
      </c>
      <c r="L44" s="1">
        <v>1</v>
      </c>
      <c r="M44" s="1" t="s">
        <v>26</v>
      </c>
    </row>
    <row r="45" spans="1:13">
      <c r="A45" s="1">
        <v>4847</v>
      </c>
      <c r="B45" s="6" t="s">
        <v>12</v>
      </c>
      <c r="C45" s="1" t="s">
        <v>83</v>
      </c>
      <c r="D45" s="1" t="s">
        <v>7</v>
      </c>
      <c r="E45" s="2">
        <v>43196</v>
      </c>
      <c r="F45" s="9">
        <v>43552</v>
      </c>
      <c r="G45" s="1" t="s">
        <v>8</v>
      </c>
      <c r="H45" s="1" t="s">
        <v>84</v>
      </c>
      <c r="I45" s="1">
        <v>1</v>
      </c>
      <c r="J45" s="1" t="s">
        <v>85</v>
      </c>
      <c r="K45" s="24">
        <v>43552</v>
      </c>
    </row>
    <row r="46" spans="1:13">
      <c r="A46" s="1">
        <v>4848</v>
      </c>
      <c r="B46" s="8" t="s">
        <v>21</v>
      </c>
      <c r="C46" s="1" t="s">
        <v>86</v>
      </c>
      <c r="D46" s="1" t="s">
        <v>7</v>
      </c>
      <c r="E46" s="2">
        <v>43196</v>
      </c>
      <c r="G46" s="1" t="s">
        <v>8</v>
      </c>
      <c r="H46" s="1" t="s">
        <v>87</v>
      </c>
      <c r="I46" s="1">
        <v>1</v>
      </c>
      <c r="J46" s="1" t="s">
        <v>88</v>
      </c>
    </row>
    <row r="47" spans="1:13">
      <c r="A47" s="1">
        <v>4849</v>
      </c>
      <c r="B47" s="8" t="s">
        <v>21</v>
      </c>
      <c r="C47" s="1" t="s">
        <v>89</v>
      </c>
      <c r="D47" s="1" t="s">
        <v>7</v>
      </c>
      <c r="E47" s="2">
        <v>43200</v>
      </c>
      <c r="G47" s="1" t="s">
        <v>58</v>
      </c>
      <c r="H47" s="1" t="s">
        <v>90</v>
      </c>
      <c r="I47" s="1">
        <v>1</v>
      </c>
      <c r="J47" s="1" t="s">
        <v>91</v>
      </c>
    </row>
    <row r="48" spans="1:13">
      <c r="A48" s="27">
        <v>4850</v>
      </c>
      <c r="B48" s="21" t="s">
        <v>5</v>
      </c>
      <c r="C48" s="1" t="s">
        <v>6</v>
      </c>
      <c r="D48" s="1" t="s">
        <v>7</v>
      </c>
      <c r="E48" s="2">
        <v>43201</v>
      </c>
      <c r="F48" s="5">
        <v>43209</v>
      </c>
      <c r="G48" s="1" t="s">
        <v>208</v>
      </c>
      <c r="H48" s="1" t="s">
        <v>209</v>
      </c>
      <c r="I48" s="1">
        <v>1</v>
      </c>
      <c r="J48" s="1" t="s">
        <v>210</v>
      </c>
      <c r="K48" s="1">
        <v>1</v>
      </c>
      <c r="M48"/>
    </row>
    <row r="49" spans="1:13">
      <c r="A49" s="27">
        <v>4851</v>
      </c>
      <c r="B49" s="21" t="s">
        <v>5</v>
      </c>
      <c r="C49" s="1" t="s">
        <v>6</v>
      </c>
      <c r="D49" s="1" t="s">
        <v>7</v>
      </c>
      <c r="E49" s="2">
        <v>43201</v>
      </c>
      <c r="F49" s="5">
        <v>43209</v>
      </c>
      <c r="G49" s="1" t="s">
        <v>208</v>
      </c>
      <c r="H49" s="1" t="s">
        <v>92</v>
      </c>
      <c r="I49" s="1">
        <v>6</v>
      </c>
      <c r="J49" s="1" t="s">
        <v>211</v>
      </c>
      <c r="K49" s="1">
        <v>6</v>
      </c>
      <c r="M49"/>
    </row>
    <row r="50" spans="1:13">
      <c r="A50" s="27">
        <v>4855</v>
      </c>
      <c r="B50" s="8" t="s">
        <v>21</v>
      </c>
      <c r="C50" s="1" t="s">
        <v>212</v>
      </c>
      <c r="D50" s="1" t="s">
        <v>7</v>
      </c>
      <c r="E50" s="2">
        <v>43201</v>
      </c>
      <c r="G50" s="1" t="s">
        <v>213</v>
      </c>
      <c r="H50" s="1" t="s">
        <v>92</v>
      </c>
      <c r="I50" s="1">
        <v>1</v>
      </c>
      <c r="J50" s="1" t="s">
        <v>214</v>
      </c>
      <c r="K50" s="1"/>
      <c r="M50"/>
    </row>
    <row r="51" spans="1:13">
      <c r="A51" s="1">
        <v>4858</v>
      </c>
      <c r="B51" s="1" t="s">
        <v>73</v>
      </c>
      <c r="C51" s="1" t="s">
        <v>94</v>
      </c>
      <c r="D51" s="1" t="s">
        <v>7</v>
      </c>
      <c r="E51" s="2">
        <v>43200</v>
      </c>
      <c r="G51" s="1" t="s">
        <v>93</v>
      </c>
      <c r="H51" s="1" t="s">
        <v>90</v>
      </c>
      <c r="I51" s="1">
        <v>1</v>
      </c>
      <c r="J51" s="1" t="s">
        <v>95</v>
      </c>
    </row>
    <row r="52" spans="1:13">
      <c r="A52" s="27">
        <v>4860</v>
      </c>
      <c r="B52" s="21" t="s">
        <v>5</v>
      </c>
      <c r="C52" s="1" t="s">
        <v>6</v>
      </c>
      <c r="D52" s="1" t="s">
        <v>7</v>
      </c>
      <c r="E52" s="2">
        <v>43206</v>
      </c>
      <c r="F52" s="5">
        <v>43243</v>
      </c>
      <c r="G52" s="1" t="s">
        <v>96</v>
      </c>
      <c r="H52" s="1" t="s">
        <v>97</v>
      </c>
      <c r="I52" s="1">
        <v>1</v>
      </c>
      <c r="J52" s="1" t="s">
        <v>215</v>
      </c>
      <c r="K52" s="1">
        <v>1</v>
      </c>
      <c r="M52"/>
    </row>
    <row r="53" spans="1:13">
      <c r="A53" s="1">
        <v>4861</v>
      </c>
      <c r="B53" s="8" t="s">
        <v>21</v>
      </c>
      <c r="C53" s="1" t="s">
        <v>98</v>
      </c>
      <c r="D53" s="1" t="s">
        <v>7</v>
      </c>
      <c r="E53" s="2">
        <v>43206</v>
      </c>
      <c r="G53" s="1" t="s">
        <v>96</v>
      </c>
      <c r="H53" s="1" t="s">
        <v>99</v>
      </c>
      <c r="I53" s="1">
        <v>1</v>
      </c>
      <c r="J53" s="1" t="s">
        <v>100</v>
      </c>
    </row>
    <row r="54" spans="1:13">
      <c r="A54" s="1">
        <v>4862</v>
      </c>
      <c r="B54" s="21" t="s">
        <v>5</v>
      </c>
      <c r="C54" s="1" t="s">
        <v>101</v>
      </c>
      <c r="D54" s="1" t="s">
        <v>7</v>
      </c>
      <c r="E54" s="2">
        <v>43222</v>
      </c>
      <c r="F54" s="9">
        <v>43451</v>
      </c>
      <c r="G54" s="1" t="s">
        <v>58</v>
      </c>
      <c r="H54" s="1" t="s">
        <v>102</v>
      </c>
      <c r="I54" s="1">
        <v>1</v>
      </c>
      <c r="J54" s="1" t="s">
        <v>41</v>
      </c>
      <c r="K54" s="24">
        <v>43451</v>
      </c>
      <c r="L54" s="1">
        <v>1</v>
      </c>
    </row>
    <row r="55" spans="1:13">
      <c r="A55" s="1">
        <v>4867</v>
      </c>
      <c r="B55" s="21" t="s">
        <v>5</v>
      </c>
      <c r="C55" s="1" t="s">
        <v>104</v>
      </c>
      <c r="D55" s="1" t="s">
        <v>7</v>
      </c>
      <c r="E55" s="2">
        <v>43238</v>
      </c>
      <c r="F55" s="9">
        <v>43451</v>
      </c>
      <c r="G55" s="1" t="s">
        <v>38</v>
      </c>
      <c r="H55" s="1" t="s">
        <v>92</v>
      </c>
      <c r="I55" s="1">
        <v>1</v>
      </c>
      <c r="J55" s="1" t="s">
        <v>41</v>
      </c>
      <c r="K55" s="24">
        <v>43451</v>
      </c>
      <c r="L55" s="1">
        <v>1</v>
      </c>
    </row>
    <row r="56" spans="1:13">
      <c r="A56" s="1">
        <v>4868</v>
      </c>
      <c r="B56" s="21" t="s">
        <v>5</v>
      </c>
      <c r="C56" s="1" t="s">
        <v>6</v>
      </c>
      <c r="D56" s="1" t="s">
        <v>7</v>
      </c>
      <c r="E56" s="2">
        <v>43243</v>
      </c>
      <c r="F56" s="5">
        <v>43243</v>
      </c>
      <c r="G56" s="1" t="s">
        <v>8</v>
      </c>
      <c r="H56" s="1" t="s">
        <v>92</v>
      </c>
      <c r="I56" s="1">
        <v>4</v>
      </c>
      <c r="J56" s="1" t="s">
        <v>105</v>
      </c>
      <c r="K56" s="26">
        <v>43243</v>
      </c>
      <c r="L56" s="1">
        <v>4</v>
      </c>
    </row>
    <row r="57" spans="1:13">
      <c r="A57" s="1">
        <v>4869</v>
      </c>
      <c r="B57" s="8" t="s">
        <v>21</v>
      </c>
      <c r="C57" s="1" t="s">
        <v>106</v>
      </c>
      <c r="D57" s="1" t="s">
        <v>7</v>
      </c>
      <c r="E57" s="2">
        <v>43249</v>
      </c>
      <c r="G57" s="1" t="s">
        <v>38</v>
      </c>
      <c r="H57" s="1" t="s">
        <v>107</v>
      </c>
      <c r="I57" s="1">
        <v>1</v>
      </c>
      <c r="J57" s="1" t="s">
        <v>41</v>
      </c>
    </row>
    <row r="58" spans="1:13">
      <c r="A58" s="1">
        <v>4870</v>
      </c>
      <c r="B58" s="8" t="s">
        <v>21</v>
      </c>
      <c r="C58" s="1" t="s">
        <v>108</v>
      </c>
      <c r="D58" s="1" t="s">
        <v>109</v>
      </c>
      <c r="E58" s="2">
        <v>43249</v>
      </c>
      <c r="G58" s="1" t="s">
        <v>38</v>
      </c>
      <c r="H58" s="1" t="s">
        <v>66</v>
      </c>
      <c r="I58" s="1">
        <v>1</v>
      </c>
      <c r="J58" s="1" t="s">
        <v>41</v>
      </c>
    </row>
    <row r="59" spans="1:13">
      <c r="A59" s="27">
        <v>4871</v>
      </c>
      <c r="B59" s="1" t="s">
        <v>73</v>
      </c>
      <c r="C59" s="1" t="s">
        <v>110</v>
      </c>
      <c r="D59" s="1" t="s">
        <v>7</v>
      </c>
      <c r="E59" s="2">
        <v>43249</v>
      </c>
      <c r="G59" s="1" t="s">
        <v>58</v>
      </c>
      <c r="H59" s="1" t="s">
        <v>111</v>
      </c>
      <c r="I59" s="1">
        <v>2</v>
      </c>
      <c r="J59" s="1" t="s">
        <v>41</v>
      </c>
    </row>
    <row r="60" spans="1:13">
      <c r="A60" s="1">
        <v>4878</v>
      </c>
      <c r="B60" s="6" t="s">
        <v>12</v>
      </c>
      <c r="C60" s="1" t="s">
        <v>112</v>
      </c>
      <c r="D60" s="1" t="s">
        <v>7</v>
      </c>
      <c r="E60" s="2">
        <v>43249</v>
      </c>
      <c r="G60" s="1" t="s">
        <v>113</v>
      </c>
      <c r="H60" s="1" t="s">
        <v>114</v>
      </c>
      <c r="I60" s="1">
        <v>1</v>
      </c>
      <c r="J60" s="1" t="s">
        <v>115</v>
      </c>
      <c r="L60" s="1">
        <v>1</v>
      </c>
    </row>
    <row r="61" spans="1:13">
      <c r="A61" s="1">
        <v>4879</v>
      </c>
      <c r="B61" s="8" t="s">
        <v>21</v>
      </c>
      <c r="C61" s="1" t="s">
        <v>116</v>
      </c>
      <c r="D61" s="1" t="s">
        <v>7</v>
      </c>
      <c r="E61" s="2">
        <v>43285</v>
      </c>
      <c r="G61" s="1" t="s">
        <v>8</v>
      </c>
      <c r="H61" s="1" t="s">
        <v>117</v>
      </c>
      <c r="I61" s="1">
        <v>1</v>
      </c>
      <c r="J61" s="1" t="s">
        <v>19</v>
      </c>
    </row>
    <row r="62" spans="1:13">
      <c r="A62" s="1">
        <v>4880</v>
      </c>
      <c r="B62" s="8" t="s">
        <v>21</v>
      </c>
      <c r="C62" s="1" t="s">
        <v>118</v>
      </c>
      <c r="D62" s="1" t="s">
        <v>7</v>
      </c>
      <c r="E62" s="2">
        <v>43285</v>
      </c>
      <c r="G62" s="1" t="s">
        <v>8</v>
      </c>
      <c r="H62" s="1" t="s">
        <v>18</v>
      </c>
      <c r="I62" s="1">
        <v>1</v>
      </c>
      <c r="J62" s="1" t="s">
        <v>19</v>
      </c>
    </row>
    <row r="63" spans="1:13">
      <c r="A63" s="1">
        <v>4881</v>
      </c>
      <c r="B63" s="8" t="s">
        <v>21</v>
      </c>
      <c r="C63" s="1" t="s">
        <v>119</v>
      </c>
      <c r="D63" s="1" t="s">
        <v>7</v>
      </c>
      <c r="E63" s="2">
        <v>43285</v>
      </c>
      <c r="G63" s="1" t="s">
        <v>8</v>
      </c>
      <c r="H63" s="1" t="s">
        <v>18</v>
      </c>
      <c r="I63" s="1">
        <v>1</v>
      </c>
      <c r="J63" s="1" t="s">
        <v>19</v>
      </c>
    </row>
    <row r="64" spans="1:13">
      <c r="A64" s="1">
        <v>4882</v>
      </c>
      <c r="B64" s="8" t="s">
        <v>21</v>
      </c>
      <c r="C64" s="1" t="s">
        <v>120</v>
      </c>
      <c r="D64" s="1" t="s">
        <v>7</v>
      </c>
      <c r="E64" s="2">
        <v>43285</v>
      </c>
      <c r="G64" s="1" t="s">
        <v>8</v>
      </c>
      <c r="H64" s="1" t="s">
        <v>18</v>
      </c>
      <c r="I64" s="1">
        <v>1</v>
      </c>
      <c r="J64" s="1" t="s">
        <v>19</v>
      </c>
    </row>
    <row r="65" spans="1:13">
      <c r="A65" s="1">
        <v>4883</v>
      </c>
      <c r="B65" s="8" t="s">
        <v>21</v>
      </c>
      <c r="C65" s="1" t="s">
        <v>121</v>
      </c>
      <c r="D65" s="1" t="s">
        <v>7</v>
      </c>
      <c r="E65" s="2">
        <v>43285</v>
      </c>
      <c r="G65" s="1" t="s">
        <v>8</v>
      </c>
      <c r="H65" s="1" t="s">
        <v>18</v>
      </c>
      <c r="I65" s="1">
        <v>1</v>
      </c>
      <c r="J65" s="1" t="s">
        <v>19</v>
      </c>
    </row>
    <row r="66" spans="1:13">
      <c r="A66" s="1">
        <v>4884</v>
      </c>
      <c r="B66" s="8" t="s">
        <v>21</v>
      </c>
      <c r="C66" s="1" t="s">
        <v>122</v>
      </c>
      <c r="D66" s="1" t="s">
        <v>7</v>
      </c>
      <c r="E66" s="2">
        <v>43285</v>
      </c>
      <c r="G66" s="1" t="s">
        <v>8</v>
      </c>
      <c r="H66" s="1" t="s">
        <v>18</v>
      </c>
      <c r="I66" s="1">
        <v>1</v>
      </c>
      <c r="J66" s="1" t="s">
        <v>19</v>
      </c>
    </row>
    <row r="67" spans="1:13">
      <c r="A67" s="1">
        <v>4885</v>
      </c>
      <c r="B67" s="8" t="s">
        <v>21</v>
      </c>
      <c r="C67" s="1" t="s">
        <v>123</v>
      </c>
      <c r="D67" s="1" t="s">
        <v>7</v>
      </c>
      <c r="E67" s="2">
        <v>43285</v>
      </c>
      <c r="G67" s="1" t="s">
        <v>8</v>
      </c>
      <c r="H67" s="1" t="s">
        <v>18</v>
      </c>
      <c r="I67" s="1">
        <v>1</v>
      </c>
      <c r="J67" s="1" t="s">
        <v>19</v>
      </c>
    </row>
    <row r="68" spans="1:13">
      <c r="A68" s="1">
        <v>4886</v>
      </c>
      <c r="B68" s="8" t="s">
        <v>21</v>
      </c>
      <c r="C68" s="1" t="s">
        <v>124</v>
      </c>
      <c r="D68" s="1" t="s">
        <v>7</v>
      </c>
      <c r="E68" s="2">
        <v>43285</v>
      </c>
      <c r="G68" s="1" t="s">
        <v>8</v>
      </c>
      <c r="H68" s="1" t="s">
        <v>18</v>
      </c>
      <c r="I68" s="1">
        <v>1</v>
      </c>
      <c r="J68" s="1" t="s">
        <v>19</v>
      </c>
    </row>
    <row r="69" spans="1:13">
      <c r="A69" s="27">
        <v>4887</v>
      </c>
      <c r="B69" s="6" t="s">
        <v>12</v>
      </c>
      <c r="C69" s="1" t="s">
        <v>125</v>
      </c>
      <c r="D69" s="1" t="s">
        <v>7</v>
      </c>
      <c r="E69" s="2">
        <v>43297</v>
      </c>
      <c r="G69" s="1" t="s">
        <v>8</v>
      </c>
      <c r="H69" s="1" t="s">
        <v>126</v>
      </c>
      <c r="I69" s="1">
        <v>3</v>
      </c>
    </row>
    <row r="70" spans="1:13">
      <c r="A70" s="23">
        <f t="shared" ref="A70:A82" si="0">A69+1</f>
        <v>4888</v>
      </c>
      <c r="B70" s="8" t="s">
        <v>21</v>
      </c>
      <c r="C70" s="1" t="s">
        <v>127</v>
      </c>
      <c r="D70" s="1" t="s">
        <v>7</v>
      </c>
      <c r="E70" s="2">
        <v>43368</v>
      </c>
      <c r="G70" s="1" t="s">
        <v>128</v>
      </c>
      <c r="H70" s="1" t="s">
        <v>129</v>
      </c>
      <c r="I70" s="1">
        <v>1</v>
      </c>
      <c r="J70" s="1" t="s">
        <v>130</v>
      </c>
    </row>
    <row r="71" spans="1:13">
      <c r="A71" s="1">
        <f t="shared" si="0"/>
        <v>4889</v>
      </c>
      <c r="B71" s="8" t="s">
        <v>21</v>
      </c>
      <c r="C71" s="1" t="s">
        <v>131</v>
      </c>
      <c r="D71" s="1" t="s">
        <v>7</v>
      </c>
      <c r="E71" s="2">
        <v>43378</v>
      </c>
      <c r="G71" s="1" t="s">
        <v>132</v>
      </c>
      <c r="H71" s="1" t="s">
        <v>133</v>
      </c>
      <c r="I71" s="1">
        <v>1</v>
      </c>
      <c r="J71" s="1" t="s">
        <v>134</v>
      </c>
    </row>
    <row r="72" spans="1:13">
      <c r="A72" s="1">
        <f t="shared" si="0"/>
        <v>4890</v>
      </c>
      <c r="B72" s="21" t="s">
        <v>5</v>
      </c>
      <c r="C72" s="1" t="s">
        <v>197</v>
      </c>
      <c r="D72" s="1" t="s">
        <v>7</v>
      </c>
      <c r="E72" s="2">
        <v>43384</v>
      </c>
      <c r="F72" s="9">
        <v>43388</v>
      </c>
      <c r="H72" s="1" t="s">
        <v>97</v>
      </c>
      <c r="I72" s="1">
        <v>1</v>
      </c>
      <c r="J72" s="1" t="s">
        <v>135</v>
      </c>
      <c r="K72" s="24">
        <v>43388</v>
      </c>
      <c r="L72" s="1">
        <v>1</v>
      </c>
      <c r="M72" s="1" t="s">
        <v>136</v>
      </c>
    </row>
    <row r="73" spans="1:13">
      <c r="A73" s="1">
        <f t="shared" si="0"/>
        <v>4891</v>
      </c>
      <c r="B73" s="6" t="s">
        <v>12</v>
      </c>
      <c r="C73" s="1" t="s">
        <v>198</v>
      </c>
      <c r="D73" s="1" t="s">
        <v>7</v>
      </c>
      <c r="E73" s="2">
        <v>43388</v>
      </c>
      <c r="F73" s="9">
        <v>43410</v>
      </c>
      <c r="G73" s="1" t="s">
        <v>103</v>
      </c>
      <c r="H73" s="1" t="s">
        <v>137</v>
      </c>
      <c r="I73" s="1">
        <v>1</v>
      </c>
      <c r="J73" s="1" t="s">
        <v>138</v>
      </c>
      <c r="K73" s="24">
        <v>43410</v>
      </c>
      <c r="L73" s="1">
        <v>1</v>
      </c>
      <c r="M73" s="1" t="s">
        <v>139</v>
      </c>
    </row>
    <row r="74" spans="1:13">
      <c r="A74" s="27">
        <f t="shared" si="0"/>
        <v>4892</v>
      </c>
      <c r="B74" s="1" t="s">
        <v>73</v>
      </c>
      <c r="C74" s="1" t="s">
        <v>140</v>
      </c>
      <c r="D74" s="1" t="s">
        <v>7</v>
      </c>
      <c r="E74" s="2">
        <v>43396</v>
      </c>
      <c r="G74" s="1" t="s">
        <v>141</v>
      </c>
      <c r="H74" s="1" t="s">
        <v>9</v>
      </c>
      <c r="I74" s="1">
        <v>1</v>
      </c>
      <c r="J74" s="1" t="s">
        <v>142</v>
      </c>
    </row>
    <row r="75" spans="1:13">
      <c r="A75" s="27">
        <f t="shared" si="0"/>
        <v>4893</v>
      </c>
      <c r="B75" s="1" t="s">
        <v>73</v>
      </c>
      <c r="C75" s="1" t="s">
        <v>143</v>
      </c>
      <c r="D75" s="1" t="s">
        <v>7</v>
      </c>
      <c r="E75" s="2">
        <v>43409</v>
      </c>
      <c r="G75" s="1" t="s">
        <v>144</v>
      </c>
      <c r="H75" s="1" t="s">
        <v>9</v>
      </c>
      <c r="I75" s="1">
        <v>1</v>
      </c>
      <c r="J75" s="1" t="s">
        <v>145</v>
      </c>
    </row>
    <row r="76" spans="1:13">
      <c r="A76" s="27">
        <f t="shared" si="0"/>
        <v>4894</v>
      </c>
      <c r="B76" s="1" t="s">
        <v>73</v>
      </c>
      <c r="C76" s="1" t="s">
        <v>146</v>
      </c>
      <c r="D76" s="1" t="s">
        <v>7</v>
      </c>
      <c r="E76" s="2">
        <v>43431</v>
      </c>
      <c r="G76" s="1" t="s">
        <v>147</v>
      </c>
      <c r="H76" s="1" t="s">
        <v>90</v>
      </c>
      <c r="I76" s="1">
        <v>1</v>
      </c>
    </row>
    <row r="77" spans="1:13">
      <c r="A77" s="27">
        <f t="shared" si="0"/>
        <v>4895</v>
      </c>
      <c r="B77" s="1" t="s">
        <v>73</v>
      </c>
      <c r="C77" s="1" t="s">
        <v>148</v>
      </c>
      <c r="D77" s="1" t="s">
        <v>7</v>
      </c>
      <c r="E77" s="2">
        <v>43431</v>
      </c>
      <c r="G77" s="1" t="s">
        <v>147</v>
      </c>
      <c r="H77" s="1" t="s">
        <v>4</v>
      </c>
      <c r="I77" s="1">
        <v>1</v>
      </c>
    </row>
    <row r="78" spans="1:13">
      <c r="A78" s="1">
        <f t="shared" si="0"/>
        <v>4896</v>
      </c>
      <c r="B78" s="21" t="s">
        <v>5</v>
      </c>
      <c r="C78" s="1" t="s">
        <v>199</v>
      </c>
      <c r="D78" s="1" t="s">
        <v>7</v>
      </c>
      <c r="E78" s="2">
        <v>43408</v>
      </c>
      <c r="F78" s="9">
        <v>43444</v>
      </c>
      <c r="G78" s="1" t="s">
        <v>149</v>
      </c>
      <c r="H78" s="1" t="s">
        <v>150</v>
      </c>
      <c r="I78" s="1">
        <v>1</v>
      </c>
      <c r="J78" s="1" t="s">
        <v>151</v>
      </c>
      <c r="K78" s="24">
        <v>43444</v>
      </c>
      <c r="M78" s="1" t="s">
        <v>152</v>
      </c>
    </row>
    <row r="79" spans="1:13">
      <c r="A79" s="1">
        <f t="shared" si="0"/>
        <v>4897</v>
      </c>
      <c r="B79" s="21" t="s">
        <v>5</v>
      </c>
      <c r="C79" s="1" t="s">
        <v>199</v>
      </c>
      <c r="D79" s="1" t="s">
        <v>7</v>
      </c>
      <c r="E79" s="2">
        <v>43408</v>
      </c>
      <c r="F79" s="9">
        <v>43444</v>
      </c>
      <c r="G79" s="1" t="s">
        <v>149</v>
      </c>
      <c r="H79" s="1" t="s">
        <v>153</v>
      </c>
      <c r="I79" s="1">
        <v>2</v>
      </c>
      <c r="J79" s="1" t="s">
        <v>151</v>
      </c>
      <c r="K79" s="24">
        <v>43444</v>
      </c>
      <c r="M79" s="1" t="s">
        <v>152</v>
      </c>
    </row>
    <row r="80" spans="1:13">
      <c r="A80" s="1">
        <f t="shared" si="0"/>
        <v>4898</v>
      </c>
      <c r="B80" s="21" t="s">
        <v>5</v>
      </c>
      <c r="C80" s="1" t="s">
        <v>199</v>
      </c>
      <c r="D80" s="1" t="s">
        <v>7</v>
      </c>
      <c r="E80" s="2">
        <v>43408</v>
      </c>
      <c r="F80" s="9">
        <v>43444</v>
      </c>
      <c r="G80" s="1" t="s">
        <v>149</v>
      </c>
      <c r="H80" s="1" t="s">
        <v>154</v>
      </c>
      <c r="I80" s="1">
        <v>8</v>
      </c>
      <c r="J80" s="1" t="s">
        <v>151</v>
      </c>
      <c r="K80" s="24">
        <v>43444</v>
      </c>
      <c r="L80" s="1">
        <v>8</v>
      </c>
      <c r="M80" s="1" t="s">
        <v>155</v>
      </c>
    </row>
    <row r="81" spans="1:13">
      <c r="A81" s="1">
        <f t="shared" si="0"/>
        <v>4899</v>
      </c>
      <c r="B81" s="8" t="s">
        <v>21</v>
      </c>
      <c r="C81" s="1" t="s">
        <v>156</v>
      </c>
      <c r="D81" s="1" t="s">
        <v>7</v>
      </c>
      <c r="E81" s="2">
        <v>43444</v>
      </c>
      <c r="G81" s="1" t="s">
        <v>157</v>
      </c>
      <c r="H81" s="1" t="s">
        <v>158</v>
      </c>
      <c r="I81" s="1">
        <v>1</v>
      </c>
      <c r="J81" s="1" t="s">
        <v>159</v>
      </c>
    </row>
    <row r="82" spans="1:13">
      <c r="A82" s="1">
        <f t="shared" si="0"/>
        <v>4900</v>
      </c>
      <c r="B82" s="21" t="s">
        <v>5</v>
      </c>
      <c r="C82" s="1" t="s">
        <v>160</v>
      </c>
      <c r="D82" s="1" t="s">
        <v>7</v>
      </c>
      <c r="E82" s="2">
        <v>43444</v>
      </c>
      <c r="F82" s="9">
        <v>43447</v>
      </c>
      <c r="G82" s="1" t="s">
        <v>161</v>
      </c>
      <c r="H82" s="1" t="s">
        <v>162</v>
      </c>
      <c r="I82" s="1">
        <v>1</v>
      </c>
      <c r="J82" s="1" t="s">
        <v>163</v>
      </c>
      <c r="K82" s="24">
        <v>43447</v>
      </c>
      <c r="L82" s="1">
        <v>1</v>
      </c>
      <c r="M82" s="1" t="s">
        <v>164</v>
      </c>
    </row>
    <row r="83" spans="1:13">
      <c r="A83" s="27">
        <v>4901</v>
      </c>
      <c r="B83" s="1" t="s">
        <v>73</v>
      </c>
      <c r="C83" s="1" t="s">
        <v>196</v>
      </c>
      <c r="D83" s="1" t="s">
        <v>7</v>
      </c>
      <c r="E83" s="2">
        <v>43452</v>
      </c>
      <c r="H83" s="1" t="s">
        <v>165</v>
      </c>
      <c r="I83" s="1">
        <v>1</v>
      </c>
      <c r="J83" s="1" t="s">
        <v>166</v>
      </c>
    </row>
    <row r="84" spans="1:13" s="11" customFormat="1">
      <c r="A84" s="16"/>
      <c r="B84" s="17" t="s">
        <v>167</v>
      </c>
      <c r="C84" s="16"/>
      <c r="D84" s="16"/>
      <c r="E84" s="18"/>
      <c r="F84" s="19"/>
      <c r="G84" s="16"/>
      <c r="H84" s="16"/>
      <c r="I84" s="16"/>
      <c r="J84" s="16"/>
      <c r="K84" s="19"/>
      <c r="L84" s="16"/>
      <c r="M84" s="16"/>
    </row>
    <row r="85" spans="1:13">
      <c r="A85" s="27">
        <v>4902</v>
      </c>
      <c r="B85" s="6" t="s">
        <v>12</v>
      </c>
      <c r="C85" s="1" t="s">
        <v>168</v>
      </c>
      <c r="D85" s="1" t="s">
        <v>7</v>
      </c>
      <c r="E85" s="2">
        <v>43479</v>
      </c>
      <c r="G85" s="1" t="s">
        <v>169</v>
      </c>
      <c r="H85" s="1" t="s">
        <v>170</v>
      </c>
      <c r="I85" s="1">
        <v>1</v>
      </c>
      <c r="J85" s="1" t="s">
        <v>171</v>
      </c>
      <c r="K85" s="5">
        <v>43558</v>
      </c>
      <c r="L85" s="1">
        <v>1</v>
      </c>
      <c r="M85" s="1" t="s">
        <v>172</v>
      </c>
    </row>
    <row r="86" spans="1:13">
      <c r="A86" s="1">
        <v>4903</v>
      </c>
      <c r="B86" s="21" t="s">
        <v>5</v>
      </c>
      <c r="C86" s="1" t="s">
        <v>207</v>
      </c>
      <c r="D86" s="1" t="s">
        <v>7</v>
      </c>
      <c r="E86" s="2">
        <v>43481</v>
      </c>
      <c r="F86" s="9">
        <v>43479</v>
      </c>
      <c r="G86" s="1" t="s">
        <v>169</v>
      </c>
      <c r="H86" s="1" t="s">
        <v>173</v>
      </c>
      <c r="I86" s="1">
        <v>1</v>
      </c>
      <c r="J86" s="1" t="s">
        <v>174</v>
      </c>
      <c r="K86" s="24">
        <v>43479</v>
      </c>
      <c r="L86" s="1">
        <v>1</v>
      </c>
      <c r="M86" s="1" t="s">
        <v>136</v>
      </c>
    </row>
    <row r="87" spans="1:13">
      <c r="A87" s="1">
        <v>4904</v>
      </c>
      <c r="B87" s="6" t="s">
        <v>12</v>
      </c>
      <c r="C87" s="1" t="s">
        <v>175</v>
      </c>
      <c r="D87" s="1" t="s">
        <v>7</v>
      </c>
      <c r="E87" s="2">
        <v>43501</v>
      </c>
      <c r="F87" s="10" t="s">
        <v>176</v>
      </c>
      <c r="G87" s="1" t="s">
        <v>177</v>
      </c>
      <c r="H87" s="1" t="s">
        <v>178</v>
      </c>
      <c r="I87" s="1">
        <v>1</v>
      </c>
      <c r="J87" s="1" t="s">
        <v>179</v>
      </c>
      <c r="K87" s="25" t="s">
        <v>176</v>
      </c>
      <c r="M87" s="1" t="s">
        <v>180</v>
      </c>
    </row>
    <row r="88" spans="1:13">
      <c r="A88" s="1">
        <v>4905</v>
      </c>
      <c r="B88" s="8" t="s">
        <v>21</v>
      </c>
      <c r="C88" s="1" t="s">
        <v>181</v>
      </c>
      <c r="D88" s="1" t="s">
        <v>7</v>
      </c>
      <c r="E88" s="2">
        <v>43508</v>
      </c>
      <c r="G88" s="1" t="s">
        <v>38</v>
      </c>
      <c r="H88" s="1" t="s">
        <v>182</v>
      </c>
      <c r="I88" s="1">
        <v>1</v>
      </c>
      <c r="J88" s="1" t="s">
        <v>183</v>
      </c>
    </row>
    <row r="89" spans="1:13">
      <c r="A89" s="1">
        <v>4906</v>
      </c>
      <c r="B89" s="21" t="s">
        <v>5</v>
      </c>
      <c r="D89" s="1" t="s">
        <v>7</v>
      </c>
      <c r="E89" s="2">
        <v>43509</v>
      </c>
      <c r="F89" s="9">
        <v>43516</v>
      </c>
      <c r="G89" s="1" t="s">
        <v>184</v>
      </c>
      <c r="H89" s="1" t="s">
        <v>185</v>
      </c>
      <c r="I89" s="1">
        <v>3</v>
      </c>
      <c r="J89" s="1" t="s">
        <v>186</v>
      </c>
      <c r="K89" s="24">
        <v>43516</v>
      </c>
      <c r="M89" s="1" t="s">
        <v>187</v>
      </c>
    </row>
    <row r="90" spans="1:13">
      <c r="A90" s="1">
        <v>4907</v>
      </c>
      <c r="B90" s="8" t="s">
        <v>21</v>
      </c>
      <c r="C90" s="1" t="s">
        <v>188</v>
      </c>
      <c r="D90" s="1" t="s">
        <v>7</v>
      </c>
      <c r="E90" s="2">
        <v>43534</v>
      </c>
      <c r="G90" s="1" t="s">
        <v>189</v>
      </c>
      <c r="H90" s="1" t="s">
        <v>190</v>
      </c>
      <c r="I90" s="1">
        <v>1</v>
      </c>
      <c r="J90" s="1" t="s">
        <v>191</v>
      </c>
    </row>
    <row r="91" spans="1:13">
      <c r="A91" s="1">
        <v>4908</v>
      </c>
      <c r="B91" s="8" t="s">
        <v>21</v>
      </c>
      <c r="C91" s="1" t="s">
        <v>192</v>
      </c>
      <c r="D91" s="1" t="s">
        <v>7</v>
      </c>
      <c r="E91" s="2">
        <v>43537</v>
      </c>
      <c r="G91" s="1" t="s">
        <v>193</v>
      </c>
      <c r="H91" s="1" t="s">
        <v>194</v>
      </c>
      <c r="I91" s="1">
        <v>1</v>
      </c>
      <c r="J91" s="1" t="s">
        <v>195</v>
      </c>
      <c r="M91"/>
    </row>
  </sheetData>
  <dataValidations count="1">
    <dataValidation type="whole" operator="greaterThan" allowBlank="1" showInputMessage="1" showErrorMessage="1" sqref="A70:A82">
      <formula1>A69</formula1>
      <formula2>0</formula2>
    </dataValidation>
  </dataValidations>
  <pageMargins left="0" right="0" top="0.15748031496062992" bottom="0.15748031496062992" header="0.51181102362204722" footer="0.51181102362204722"/>
  <pageSetup paperSize="9" scale="80" firstPageNumber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Normal="75" workbookViewId="0"/>
  </sheetViews>
  <sheetFormatPr baseColWidth="10" defaultColWidth="9.140625" defaultRowHeight="15"/>
  <cols>
    <col min="1" max="1025" width="10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Normal="75" workbookViewId="0"/>
  </sheetViews>
  <sheetFormatPr baseColWidth="10" defaultColWidth="9.140625" defaultRowHeight="15"/>
  <cols>
    <col min="1" max="1025" width="10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Hoja1!_FilterDatabase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adelponsed@gmail.com</dc:creator>
  <dc:description/>
  <cp:lastModifiedBy>YO</cp:lastModifiedBy>
  <cp:revision>37</cp:revision>
  <cp:lastPrinted>2019-04-04T20:37:34Z</cp:lastPrinted>
  <dcterms:created xsi:type="dcterms:W3CDTF">2018-09-06T18:11:36Z</dcterms:created>
  <dcterms:modified xsi:type="dcterms:W3CDTF">2019-04-09T18:59:55Z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